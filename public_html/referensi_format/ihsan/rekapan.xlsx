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12\OneDrive\Documents\ihsan\"/>
    </mc:Choice>
  </mc:AlternateContent>
  <xr:revisionPtr revIDLastSave="0" documentId="8_{4F7C5DA6-2E6E-4357-9EDE-53B4C08BE6DB}" xr6:coauthVersionLast="47" xr6:coauthVersionMax="47" xr10:uidLastSave="{00000000-0000-0000-0000-000000000000}"/>
  <bookViews>
    <workbookView xWindow="-108" yWindow="-108" windowWidth="23256" windowHeight="12456" xr2:uid="{21946120-1961-40D2-A1C8-61AE4344F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2" i="1" l="1"/>
  <c r="C87" i="1" s="1"/>
  <c r="E128" i="1"/>
  <c r="E126" i="1"/>
  <c r="E125" i="1"/>
  <c r="E124" i="1"/>
  <c r="E123" i="1"/>
  <c r="E122" i="1"/>
  <c r="E121" i="1"/>
  <c r="E120" i="1"/>
  <c r="E119" i="1"/>
  <c r="E118" i="1"/>
  <c r="E117" i="1"/>
  <c r="E115" i="1"/>
  <c r="E114" i="1"/>
  <c r="E113" i="1"/>
  <c r="E112" i="1"/>
  <c r="E111" i="1"/>
  <c r="D104" i="1"/>
  <c r="C104" i="1"/>
  <c r="E103" i="1"/>
  <c r="E102" i="1"/>
  <c r="E101" i="1"/>
  <c r="E100" i="1"/>
  <c r="E99" i="1"/>
  <c r="E98" i="1"/>
  <c r="E97" i="1"/>
  <c r="E104" i="1" s="1"/>
  <c r="F80" i="1"/>
  <c r="C85" i="1" s="1"/>
  <c r="C88" i="1" s="1"/>
  <c r="C89" i="1" s="1"/>
  <c r="C91" i="1" s="1"/>
  <c r="E80" i="1"/>
  <c r="C84" i="1" s="1"/>
  <c r="G75" i="1"/>
  <c r="G74" i="1"/>
  <c r="G68" i="1"/>
  <c r="G67" i="1"/>
  <c r="G60" i="1"/>
  <c r="G54" i="1"/>
  <c r="G53" i="1"/>
  <c r="G41" i="1"/>
  <c r="G33" i="1"/>
  <c r="G32" i="1"/>
  <c r="G31" i="1"/>
  <c r="G29" i="1"/>
  <c r="G25" i="1"/>
  <c r="G23" i="1"/>
  <c r="G80" i="1" s="1"/>
  <c r="C86" i="1" s="1"/>
  <c r="G15" i="1"/>
  <c r="G14" i="1"/>
  <c r="G4" i="1"/>
</calcChain>
</file>

<file path=xl/sharedStrings.xml><?xml version="1.0" encoding="utf-8"?>
<sst xmlns="http://schemas.openxmlformats.org/spreadsheetml/2006/main" count="233" uniqueCount="133">
  <si>
    <t>NO</t>
  </si>
  <si>
    <t>BAROKAH ACARA JAMIAH JANUARI  2026</t>
  </si>
  <si>
    <t xml:space="preserve">NAMA ACARA </t>
  </si>
  <si>
    <t>TANGGAL EVENT / PERMOHONAN</t>
  </si>
  <si>
    <t>TANGGAL PENCAIRAN</t>
  </si>
  <si>
    <t>RAB</t>
  </si>
  <si>
    <t>LAPORAN</t>
  </si>
  <si>
    <t>SELISIH</t>
  </si>
  <si>
    <t>LAMPIRAN</t>
  </si>
  <si>
    <t xml:space="preserve">KETERANGAN </t>
  </si>
  <si>
    <t>BAROKAH NARASUMBER ACARA JURNAL DIHOTEL</t>
  </si>
  <si>
    <t>26 DESEMBER 2025</t>
  </si>
  <si>
    <t>JURNAL 2 HARI</t>
  </si>
  <si>
    <t>PENCAIRAN KARYA DOSEN ( HB SEGAF )</t>
  </si>
  <si>
    <t>28 DESEMBER 2025</t>
  </si>
  <si>
    <t>PENCAIRAN KARYA DOSEN ( PAK ROBI'IN DKK )</t>
  </si>
  <si>
    <t>BAROKAH TA'ZIYAH ABAH USTADZ ADIL</t>
  </si>
  <si>
    <t>29 DESEMBER 2025</t>
  </si>
  <si>
    <t>TOKEN LISTRIK BASECAMP 3</t>
  </si>
  <si>
    <t>30 DESEMBER 2025</t>
  </si>
  <si>
    <t>BAROKAH PAK AYYUB</t>
  </si>
  <si>
    <t>DP RUMAH PKL MALANG KAB</t>
  </si>
  <si>
    <t>BBM STAFF</t>
  </si>
  <si>
    <t>31 DESEMBER 2025</t>
  </si>
  <si>
    <t>BAROKAH DOSEN NGAJAR</t>
  </si>
  <si>
    <t>BAROKAH UST SYAHRONDI ( 2 BULAN, NOV &amp; DES)</t>
  </si>
  <si>
    <t>1 JANUARI 2026</t>
  </si>
  <si>
    <t>PERBULAN 2 JT ( CASH )</t>
  </si>
  <si>
    <t>BORANG ESY</t>
  </si>
  <si>
    <t>2 JANUARI 2026</t>
  </si>
  <si>
    <t>BATAL</t>
  </si>
  <si>
    <t>RAB RUMAH TANGGA ( UST HASAN )</t>
  </si>
  <si>
    <t xml:space="preserve">KEKURANGAN BAROKAH JURNAL </t>
  </si>
  <si>
    <t>TOKEN BASECAMP 2</t>
  </si>
  <si>
    <t xml:space="preserve">DP RUMAH PKL PROLING KOTA </t>
  </si>
  <si>
    <t>3 JANUARI 2026</t>
  </si>
  <si>
    <t>PAK AYYUB PEKAN 1</t>
  </si>
  <si>
    <t>6 JANUARI 2026</t>
  </si>
  <si>
    <t>TOKEN BASECAMP 1</t>
  </si>
  <si>
    <t xml:space="preserve">BBM STAF </t>
  </si>
  <si>
    <t>7 JANUARI 2026</t>
  </si>
  <si>
    <t>CASH</t>
  </si>
  <si>
    <t>ISI OBAT P3K BASECAMP</t>
  </si>
  <si>
    <t xml:space="preserve">PEMBEKALAN PPL PKL PBA </t>
  </si>
  <si>
    <t>8 JANUARI 2026</t>
  </si>
  <si>
    <t>BAROKAH DUKA UST FAUZI ( REKOM UST SAMSUL )</t>
  </si>
  <si>
    <t>BAROKAH SKRIPSI PBA &amp; ESY</t>
  </si>
  <si>
    <t>ESY 6.600.000 &amp; PBA 5.600.000</t>
  </si>
  <si>
    <t>PENCAIRAN DANA PRODI MHU</t>
  </si>
  <si>
    <t>NYUMBANG PERBAIKAN SEFTIC TANK KONTRAKAN UST MUNAWIR ( REKOM UST SAMSUL )</t>
  </si>
  <si>
    <t>RAB RUMAH TANGGA 10-16 JANUARI ( UST HASAN )</t>
  </si>
  <si>
    <t>MUKTAMAR KM UII DALWA IV</t>
  </si>
  <si>
    <t>9 JANUARI 2026</t>
  </si>
  <si>
    <t>RAB TRANSPORTASI ( UST ADIL )</t>
  </si>
  <si>
    <t>RAB SARPRAS ( UST HAKAM )</t>
  </si>
  <si>
    <t xml:space="preserve">LOMBA FUSHA 25 FESTIVAL UII DALWA SEMARAK BHS ARAB </t>
  </si>
  <si>
    <t>TRANSPOT MENGANTAR LEMBAR JAWABAN UAS</t>
  </si>
  <si>
    <t>10 JANUARI 2026</t>
  </si>
  <si>
    <t>KONSUMSI UST SAMSUL DAN UST IMAD KETEMU WALI SANTRI BEASISWA KKN</t>
  </si>
  <si>
    <t>11 JANUARI 2026</t>
  </si>
  <si>
    <t>WIFI MAKTABAH</t>
  </si>
  <si>
    <t>BAROKAH TA'ZIYAH MERTUA PAK WILLY</t>
  </si>
  <si>
    <t>12 JANUARI 2026</t>
  </si>
  <si>
    <t>ANGGARAN AKREDITASI PRODI KPI</t>
  </si>
  <si>
    <t>PENCAIRAN KARYA DOSEN</t>
  </si>
  <si>
    <t>13 JANUARI 2026</t>
  </si>
  <si>
    <t>RAB RUMAH TANGGA ( 17 - 23 JANUARI )</t>
  </si>
  <si>
    <t>14 JANUARI 2026</t>
  </si>
  <si>
    <t>PERPANJANGAN KONTRAKAN BASECAMP 3 2 TAHUN (PERTAHUN 13 JUTA)</t>
  </si>
  <si>
    <t>BAROKAH RAPAT PP PKL</t>
  </si>
  <si>
    <t>BAROKAH RAPAT BAKU</t>
  </si>
  <si>
    <t>BAROKAH RAPAT PERSIAPAN AKREDITASI</t>
  </si>
  <si>
    <t>WIFI BASECAMP 1 DAN 3</t>
  </si>
  <si>
    <t>15 JANUARI 2026</t>
  </si>
  <si>
    <t>LISTRIK BASECAMP 3</t>
  </si>
  <si>
    <t>BANTUAN 50% UKT PAK ROFIUDDIN (REKOM UST SAMSUL)</t>
  </si>
  <si>
    <t>KULIAH S3 ILMU MANEJEMEN DI UNAIR</t>
  </si>
  <si>
    <t>BAROKAH STRUKTURAL JANUARI</t>
  </si>
  <si>
    <t>BAROKAH UAS JANUARI ( REKOM UST SAMSUL )</t>
  </si>
  <si>
    <t>17 JANUARI 2026</t>
  </si>
  <si>
    <t>BAROKAH SKRIPSI JANUARI ( REKOM UST SAMSUL )</t>
  </si>
  <si>
    <t>BAROKAH TASYAKURAN DOSEN PKDP BANIN</t>
  </si>
  <si>
    <t>BAROKAH TASYAKURAN DOSEN PKDP BANAT</t>
  </si>
  <si>
    <t xml:space="preserve">PENCAIRAN DANA PENDAMPINGAN JURNAL INTERNASIONAL </t>
  </si>
  <si>
    <t>18 JANUARI 2026</t>
  </si>
  <si>
    <t>BAROKAH STAF WAREK 3 ( REKOM UST SAMSUL ) 4 BLN ( SEPTEMBER - DESEMBER @PERBULAN 400.000)</t>
  </si>
  <si>
    <t>TOKEN BASECAMP 3</t>
  </si>
  <si>
    <t>DP RUMAH KRAKSAN ( PKL HKI )</t>
  </si>
  <si>
    <t>PDAM BASECAMP 3</t>
  </si>
  <si>
    <t>BAROKAH RAPAT WISUDA TGL 15 &amp; 18 JANUARI</t>
  </si>
  <si>
    <t>BANIN 7.150.000 BANAT 2.400.000</t>
  </si>
  <si>
    <t>BAROKAH RAPAT SINGKRONISASI JADWAL S-1</t>
  </si>
  <si>
    <t>19 JANUARI 2026</t>
  </si>
  <si>
    <t>BAROKAH IT DAN TENDIK JANUARI</t>
  </si>
  <si>
    <t>20 JANUARI 2026</t>
  </si>
  <si>
    <t>AKOMODASI TIM PBA PERIZINAN PKL CARI RUMAH</t>
  </si>
  <si>
    <t>BAROKAH RAPAT WISUDA BANIN</t>
  </si>
  <si>
    <t>21 JANUARI 2026</t>
  </si>
  <si>
    <t>BAROKAH PAYROL DOSEN</t>
  </si>
  <si>
    <t>22 JANUARI 2026</t>
  </si>
  <si>
    <t>KOMANDO RESIMEN MAHASISWA</t>
  </si>
  <si>
    <t>23 JANUARI 2026</t>
  </si>
  <si>
    <t>AKOMODASI &amp; BAYAR SK JAFUNG DI KOPERTAIS ( UST SUKRON )</t>
  </si>
  <si>
    <t>26 JANUARI 2026</t>
  </si>
  <si>
    <t>27 JANUARI 2026</t>
  </si>
  <si>
    <t>AKOMODASI PPL PKL</t>
  </si>
  <si>
    <t>28 JANUARI 2026</t>
  </si>
  <si>
    <t>DP 4 RUMAH PPL PBA</t>
  </si>
  <si>
    <t>29 JANUARI 2026</t>
  </si>
  <si>
    <t>BAROKAH RAPAT PMB 2026</t>
  </si>
  <si>
    <t>UKT UST ZUHDI</t>
  </si>
  <si>
    <t>TAGIHAN HOTEL S-1 PRIODE 23 Agustus 2025 sd 19 Januari 2026</t>
  </si>
  <si>
    <t>BAROKAH BORANG PRODI KPI</t>
  </si>
  <si>
    <t>💸 SALDO AKHIR TAHUN 2025</t>
  </si>
  <si>
    <t xml:space="preserve"> </t>
  </si>
  <si>
    <t>🪙 TOTAL PEMASUKAN JANUARI 2026</t>
  </si>
  <si>
    <t>🪙 TOTAL PEMASUKAN JANUARI 2026 ( TANPA KKN &amp; WISUDA )</t>
  </si>
  <si>
    <t>SELISIH SALDO</t>
  </si>
  <si>
    <t>TIDAK MASUK LAPORAN</t>
  </si>
  <si>
    <t>TOTAL LAPORAN</t>
  </si>
  <si>
    <t>💰 SALDO JANUARI 2026</t>
  </si>
  <si>
    <t>💳 SALDO AKHIR REKENING BANK JANUARI 2026</t>
  </si>
  <si>
    <t xml:space="preserve">SELISIH SALDO AKHIR </t>
  </si>
  <si>
    <t>DESKRIPSI</t>
  </si>
  <si>
    <t>RAB 1</t>
  </si>
  <si>
    <t>RAB 2</t>
  </si>
  <si>
    <t>RAB 2 SUSULAN</t>
  </si>
  <si>
    <t>RAB 3</t>
  </si>
  <si>
    <t>STRUKTURAL</t>
  </si>
  <si>
    <t>RAB 4</t>
  </si>
  <si>
    <t>RAB 5</t>
  </si>
  <si>
    <t>YANG SELISIH</t>
  </si>
  <si>
    <t>TANGGAL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</si>
</sst>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21]dd\ mmmm\ yyyy;@"/>
    <numFmt numFmtId="165" formatCode="_-[$Rp-3809]* #,##0_-;\-[$Rp-3809]* #,##0_-;_-[$Rp-3809]* &quot;-&quot;??_-;_-@_-"/>
    <numFmt numFmtId="167" formatCode="_-&quot;Rp&quot;* #,##0_-;\-&quot;Rp&quot;* #,##0_-;_-&quot;Rp&quot;* &quot;-&quot;??_-;_-@_-"/>
    <numFmt numFmtId="168" formatCode="_-[$Rp-421]* #,##0_-;\-[$Rp-421]* #,##0_-;_-[$Rp-421]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4"/>
      <name val="Times New Roman"/>
      <family val="1"/>
    </font>
    <font>
      <sz val="14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2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7" fontId="2" fillId="0" borderId="0" xfId="0" applyNumberFormat="1" applyFont="1"/>
    <xf numFmtId="164" fontId="2" fillId="0" borderId="7" xfId="0" applyNumberFormat="1" applyFont="1" applyBorder="1" applyAlignment="1">
      <alignment horizontal="center" vertical="center"/>
    </xf>
    <xf numFmtId="167" fontId="2" fillId="3" borderId="1" xfId="1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left" vertical="center"/>
    </xf>
    <xf numFmtId="0" fontId="5" fillId="4" borderId="2" xfId="2" applyFont="1" applyFill="1" applyBorder="1" applyAlignment="1">
      <alignment horizontal="left" vertical="center"/>
    </xf>
    <xf numFmtId="0" fontId="5" fillId="0" borderId="2" xfId="2" applyFont="1" applyFill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2" fillId="0" borderId="1" xfId="1" applyNumberFormat="1" applyFont="1" applyFill="1" applyBorder="1" applyAlignment="1">
      <alignment vertical="center"/>
    </xf>
    <xf numFmtId="0" fontId="5" fillId="4" borderId="2" xfId="2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horizontal="center" vertical="center"/>
    </xf>
    <xf numFmtId="167" fontId="2" fillId="4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2" xfId="2" applyFont="1" applyFill="1" applyBorder="1" applyAlignment="1">
      <alignment vertical="center"/>
    </xf>
    <xf numFmtId="164" fontId="2" fillId="0" borderId="8" xfId="0" applyNumberFormat="1" applyFont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0" fontId="5" fillId="4" borderId="1" xfId="2" applyFont="1" applyFill="1" applyBorder="1" applyAlignment="1">
      <alignment vertical="center"/>
    </xf>
    <xf numFmtId="0" fontId="5" fillId="0" borderId="1" xfId="2" applyFont="1" applyFill="1" applyBorder="1" applyAlignment="1">
      <alignment vertical="center"/>
    </xf>
    <xf numFmtId="0" fontId="5" fillId="6" borderId="2" xfId="2" applyFont="1" applyFill="1" applyBorder="1" applyAlignment="1">
      <alignment vertical="center"/>
    </xf>
    <xf numFmtId="0" fontId="5" fillId="7" borderId="1" xfId="2" applyFont="1" applyFill="1" applyBorder="1" applyAlignment="1">
      <alignment vertical="center"/>
    </xf>
    <xf numFmtId="0" fontId="5" fillId="8" borderId="1" xfId="2" applyFont="1" applyFill="1" applyBorder="1" applyAlignment="1">
      <alignment vertical="center"/>
    </xf>
    <xf numFmtId="167" fontId="6" fillId="3" borderId="1" xfId="1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vertical="center"/>
    </xf>
    <xf numFmtId="0" fontId="5" fillId="6" borderId="1" xfId="2" applyFont="1" applyFill="1" applyBorder="1" applyAlignment="1">
      <alignment vertical="center"/>
    </xf>
    <xf numFmtId="0" fontId="5" fillId="9" borderId="1" xfId="2" applyFont="1" applyFill="1" applyBorder="1" applyAlignment="1">
      <alignment vertical="center"/>
    </xf>
    <xf numFmtId="167" fontId="2" fillId="3" borderId="1" xfId="1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168" fontId="2" fillId="0" borderId="1" xfId="0" applyNumberFormat="1" applyFont="1" applyBorder="1"/>
    <xf numFmtId="0" fontId="2" fillId="0" borderId="1" xfId="0" applyFont="1" applyBorder="1" applyAlignment="1">
      <alignment wrapText="1"/>
    </xf>
    <xf numFmtId="165" fontId="2" fillId="0" borderId="1" xfId="0" applyNumberFormat="1" applyFont="1" applyBorder="1"/>
    <xf numFmtId="165" fontId="2" fillId="0" borderId="0" xfId="0" applyNumberFormat="1" applyFont="1"/>
    <xf numFmtId="0" fontId="2" fillId="0" borderId="9" xfId="0" applyFont="1" applyBorder="1" applyAlignment="1">
      <alignment wrapText="1"/>
    </xf>
    <xf numFmtId="165" fontId="2" fillId="0" borderId="9" xfId="0" applyNumberFormat="1" applyFont="1" applyBorder="1"/>
    <xf numFmtId="168" fontId="2" fillId="0" borderId="0" xfId="0" applyNumberFormat="1" applyFont="1"/>
    <xf numFmtId="0" fontId="2" fillId="0" borderId="8" xfId="0" applyFont="1" applyBorder="1" applyAlignment="1">
      <alignment wrapText="1"/>
    </xf>
    <xf numFmtId="167" fontId="2" fillId="0" borderId="8" xfId="0" applyNumberFormat="1" applyFont="1" applyBorder="1"/>
    <xf numFmtId="167" fontId="2" fillId="0" borderId="0" xfId="1" applyNumberFormat="1" applyFont="1" applyFill="1" applyBorder="1" applyAlignment="1">
      <alignment horizontal="center" vertical="center"/>
    </xf>
    <xf numFmtId="167" fontId="2" fillId="0" borderId="0" xfId="1" applyNumberFormat="1" applyFont="1"/>
    <xf numFmtId="167" fontId="2" fillId="0" borderId="9" xfId="0" applyNumberFormat="1" applyFont="1" applyBorder="1"/>
    <xf numFmtId="0" fontId="2" fillId="0" borderId="7" xfId="0" applyFont="1" applyBorder="1" applyAlignment="1">
      <alignment wrapText="1"/>
    </xf>
    <xf numFmtId="167" fontId="2" fillId="0" borderId="7" xfId="0" applyNumberFormat="1" applyFont="1" applyBorder="1"/>
    <xf numFmtId="0" fontId="3" fillId="0" borderId="10" xfId="0" applyFont="1" applyBorder="1" applyAlignment="1">
      <alignment wrapText="1"/>
    </xf>
    <xf numFmtId="165" fontId="3" fillId="0" borderId="10" xfId="0" applyNumberFormat="1" applyFont="1" applyBorder="1"/>
    <xf numFmtId="167" fontId="2" fillId="0" borderId="8" xfId="1" applyNumberFormat="1" applyFont="1" applyBorder="1"/>
    <xf numFmtId="0" fontId="2" fillId="10" borderId="1" xfId="0" applyFont="1" applyFill="1" applyBorder="1" applyAlignment="1">
      <alignment wrapText="1"/>
    </xf>
    <xf numFmtId="165" fontId="2" fillId="10" borderId="1" xfId="0" applyNumberFormat="1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/>
    <xf numFmtId="167" fontId="2" fillId="0" borderId="1" xfId="1" applyNumberFormat="1" applyFont="1" applyBorder="1"/>
    <xf numFmtId="167" fontId="2" fillId="0" borderId="1" xfId="0" applyNumberFormat="1" applyFont="1" applyBorder="1"/>
    <xf numFmtId="167" fontId="3" fillId="0" borderId="0" xfId="1" applyNumberFormat="1" applyFont="1"/>
    <xf numFmtId="167" fontId="3" fillId="0" borderId="0" xfId="0" applyNumberFormat="1" applyFont="1"/>
    <xf numFmtId="167" fontId="2" fillId="11" borderId="1" xfId="1" applyNumberFormat="1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165" fontId="6" fillId="11" borderId="1" xfId="0" applyNumberFormat="1" applyFont="1" applyFill="1" applyBorder="1" applyAlignment="1">
      <alignment horizontal="center" vertical="center"/>
    </xf>
    <xf numFmtId="167" fontId="2" fillId="11" borderId="1" xfId="1" applyNumberFormat="1" applyFont="1" applyFill="1" applyBorder="1" applyAlignment="1">
      <alignment vertical="center"/>
    </xf>
    <xf numFmtId="165" fontId="3" fillId="0" borderId="0" xfId="0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2E03-5C2D-496B-9063-7DB41A58A42E}">
  <dimension ref="A1:J142"/>
  <sheetViews>
    <sheetView tabSelected="1" topLeftCell="A96" zoomScale="40" workbookViewId="0">
      <selection sqref="A1:XFD1048576"/>
    </sheetView>
  </sheetViews>
  <sheetFormatPr defaultColWidth="8.77734375" defaultRowHeight="18" x14ac:dyDescent="0.35"/>
  <cols>
    <col min="1" max="1" width="5.88671875" style="5" bestFit="1" customWidth="1"/>
    <col min="2" max="2" width="89.77734375" style="5" customWidth="1"/>
    <col min="3" max="3" width="46.33203125" style="5" bestFit="1" customWidth="1"/>
    <col min="4" max="4" width="31.6640625" style="5" customWidth="1"/>
    <col min="5" max="8" width="31.21875" style="5" customWidth="1"/>
    <col min="9" max="9" width="54.21875" style="44" bestFit="1" customWidth="1"/>
    <col min="10" max="10" width="30" style="5" customWidth="1"/>
    <col min="11" max="16384" width="8.77734375" style="5"/>
  </cols>
  <sheetData>
    <row r="1" spans="1:10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</row>
    <row r="2" spans="1:10" x14ac:dyDescent="0.35">
      <c r="A2" s="1"/>
      <c r="B2" s="6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9" t="s">
        <v>9</v>
      </c>
    </row>
    <row r="3" spans="1:10" x14ac:dyDescent="0.35">
      <c r="A3" s="10">
        <v>1</v>
      </c>
      <c r="B3" s="11" t="s">
        <v>10</v>
      </c>
      <c r="C3" s="12" t="s">
        <v>11</v>
      </c>
      <c r="D3" s="13">
        <v>46023</v>
      </c>
      <c r="E3" s="14">
        <v>5000000</v>
      </c>
      <c r="F3" s="14">
        <v>5000000</v>
      </c>
      <c r="G3" s="15"/>
      <c r="H3" s="15"/>
      <c r="I3" s="10"/>
      <c r="J3" s="16"/>
    </row>
    <row r="4" spans="1:10" x14ac:dyDescent="0.35">
      <c r="A4" s="10">
        <v>2</v>
      </c>
      <c r="B4" s="11" t="s">
        <v>12</v>
      </c>
      <c r="C4" s="12" t="s">
        <v>11</v>
      </c>
      <c r="D4" s="17"/>
      <c r="E4" s="18">
        <v>4950000</v>
      </c>
      <c r="F4" s="19">
        <v>4500000</v>
      </c>
      <c r="G4" s="19">
        <f>E4-F4</f>
        <v>450000</v>
      </c>
      <c r="H4" s="15"/>
      <c r="I4" s="10"/>
    </row>
    <row r="5" spans="1:10" x14ac:dyDescent="0.35">
      <c r="A5" s="10">
        <v>3</v>
      </c>
      <c r="B5" s="11" t="s">
        <v>13</v>
      </c>
      <c r="C5" s="12" t="s">
        <v>14</v>
      </c>
      <c r="D5" s="17"/>
      <c r="E5" s="14">
        <v>4000000</v>
      </c>
      <c r="F5" s="14">
        <v>4000000</v>
      </c>
      <c r="G5" s="15"/>
      <c r="H5" s="15"/>
      <c r="I5" s="10"/>
    </row>
    <row r="6" spans="1:10" x14ac:dyDescent="0.35">
      <c r="A6" s="10">
        <v>4</v>
      </c>
      <c r="B6" s="11" t="s">
        <v>15</v>
      </c>
      <c r="C6" s="12" t="s">
        <v>14</v>
      </c>
      <c r="D6" s="17"/>
      <c r="E6" s="14">
        <v>7200000</v>
      </c>
      <c r="F6" s="14">
        <v>7200000</v>
      </c>
      <c r="G6" s="15"/>
      <c r="H6" s="15"/>
      <c r="I6" s="10"/>
    </row>
    <row r="7" spans="1:10" x14ac:dyDescent="0.35">
      <c r="A7" s="10">
        <v>5</v>
      </c>
      <c r="B7" s="11" t="s">
        <v>16</v>
      </c>
      <c r="C7" s="12" t="s">
        <v>17</v>
      </c>
      <c r="D7" s="17"/>
      <c r="E7" s="14">
        <v>2500000</v>
      </c>
      <c r="F7" s="14">
        <v>2500000</v>
      </c>
      <c r="G7" s="15"/>
      <c r="H7" s="15"/>
      <c r="I7" s="10"/>
    </row>
    <row r="8" spans="1:10" x14ac:dyDescent="0.35">
      <c r="A8" s="10">
        <v>6</v>
      </c>
      <c r="B8" s="20" t="s">
        <v>18</v>
      </c>
      <c r="C8" s="12" t="s">
        <v>19</v>
      </c>
      <c r="D8" s="17"/>
      <c r="E8" s="14">
        <v>500000</v>
      </c>
      <c r="F8" s="14">
        <v>500000</v>
      </c>
      <c r="G8" s="15"/>
      <c r="H8" s="15"/>
      <c r="I8" s="10"/>
    </row>
    <row r="9" spans="1:10" x14ac:dyDescent="0.35">
      <c r="A9" s="10">
        <v>7</v>
      </c>
      <c r="B9" s="11" t="s">
        <v>20</v>
      </c>
      <c r="C9" s="12" t="s">
        <v>19</v>
      </c>
      <c r="D9" s="17"/>
      <c r="E9" s="14">
        <v>400000</v>
      </c>
      <c r="F9" s="14">
        <v>400000</v>
      </c>
      <c r="G9" s="15"/>
      <c r="H9" s="15"/>
      <c r="I9" s="10"/>
    </row>
    <row r="10" spans="1:10" x14ac:dyDescent="0.35">
      <c r="A10" s="10">
        <v>8</v>
      </c>
      <c r="B10" s="21" t="s">
        <v>21</v>
      </c>
      <c r="C10" s="12" t="s">
        <v>19</v>
      </c>
      <c r="D10" s="17"/>
      <c r="E10" s="14">
        <v>500000</v>
      </c>
      <c r="F10" s="14">
        <v>500000</v>
      </c>
      <c r="G10" s="15"/>
      <c r="H10" s="15"/>
      <c r="I10" s="10"/>
    </row>
    <row r="11" spans="1:10" x14ac:dyDescent="0.35">
      <c r="A11" s="10">
        <v>9</v>
      </c>
      <c r="B11" s="11" t="s">
        <v>22</v>
      </c>
      <c r="C11" s="12" t="s">
        <v>23</v>
      </c>
      <c r="D11" s="17"/>
      <c r="E11" s="14">
        <v>150000</v>
      </c>
      <c r="F11" s="14">
        <v>150000</v>
      </c>
      <c r="G11" s="15"/>
      <c r="H11" s="15"/>
      <c r="I11" s="10"/>
    </row>
    <row r="12" spans="1:10" x14ac:dyDescent="0.35">
      <c r="A12" s="10">
        <v>10</v>
      </c>
      <c r="B12" s="11" t="s">
        <v>24</v>
      </c>
      <c r="C12" s="12" t="s">
        <v>23</v>
      </c>
      <c r="D12" s="17"/>
      <c r="E12" s="14">
        <v>61915500</v>
      </c>
      <c r="F12" s="14">
        <v>61915500</v>
      </c>
      <c r="G12" s="15"/>
      <c r="H12" s="15"/>
      <c r="I12" s="10"/>
    </row>
    <row r="13" spans="1:10" x14ac:dyDescent="0.35">
      <c r="A13" s="10">
        <v>11</v>
      </c>
      <c r="B13" s="22" t="s">
        <v>25</v>
      </c>
      <c r="C13" s="12" t="s">
        <v>26</v>
      </c>
      <c r="D13" s="17"/>
      <c r="E13" s="23">
        <v>4000000</v>
      </c>
      <c r="F13" s="23">
        <v>4000000</v>
      </c>
      <c r="G13" s="23"/>
      <c r="H13" s="24"/>
      <c r="I13" s="14" t="s">
        <v>27</v>
      </c>
    </row>
    <row r="14" spans="1:10" x14ac:dyDescent="0.35">
      <c r="A14" s="10">
        <v>12</v>
      </c>
      <c r="B14" s="25" t="s">
        <v>28</v>
      </c>
      <c r="C14" s="26" t="s">
        <v>29</v>
      </c>
      <c r="D14" s="17"/>
      <c r="E14" s="27">
        <v>2600000</v>
      </c>
      <c r="F14" s="27">
        <v>2600000</v>
      </c>
      <c r="G14" s="27">
        <f>E14-F14</f>
        <v>0</v>
      </c>
      <c r="H14" s="27"/>
      <c r="I14" s="28" t="s">
        <v>30</v>
      </c>
    </row>
    <row r="15" spans="1:10" x14ac:dyDescent="0.35">
      <c r="A15" s="10">
        <v>13</v>
      </c>
      <c r="B15" s="29" t="s">
        <v>31</v>
      </c>
      <c r="C15" s="12" t="s">
        <v>29</v>
      </c>
      <c r="D15" s="30"/>
      <c r="E15" s="18">
        <v>30700000</v>
      </c>
      <c r="F15" s="18">
        <v>25803000</v>
      </c>
      <c r="G15" s="18">
        <f>E15-F15</f>
        <v>4897000</v>
      </c>
      <c r="H15" s="31"/>
      <c r="I15" s="10"/>
    </row>
    <row r="16" spans="1:10" x14ac:dyDescent="0.35">
      <c r="A16" s="10">
        <v>14</v>
      </c>
      <c r="B16" s="32" t="s">
        <v>32</v>
      </c>
      <c r="C16" s="12" t="s">
        <v>29</v>
      </c>
      <c r="D16" s="13">
        <v>46030</v>
      </c>
      <c r="E16" s="23">
        <v>300000</v>
      </c>
      <c r="F16" s="23">
        <v>300000</v>
      </c>
      <c r="G16" s="23"/>
      <c r="H16" s="24"/>
      <c r="I16" s="10"/>
      <c r="J16" s="16"/>
    </row>
    <row r="17" spans="1:10" x14ac:dyDescent="0.35">
      <c r="A17" s="10">
        <v>15</v>
      </c>
      <c r="B17" s="32" t="s">
        <v>33</v>
      </c>
      <c r="C17" s="12" t="s">
        <v>29</v>
      </c>
      <c r="D17" s="17"/>
      <c r="E17" s="23">
        <v>500000</v>
      </c>
      <c r="F17" s="23">
        <v>500000</v>
      </c>
      <c r="G17" s="23"/>
      <c r="H17" s="24"/>
      <c r="I17" s="10"/>
    </row>
    <row r="18" spans="1:10" x14ac:dyDescent="0.35">
      <c r="A18" s="10">
        <v>16</v>
      </c>
      <c r="B18" s="33" t="s">
        <v>34</v>
      </c>
      <c r="C18" s="12" t="s">
        <v>35</v>
      </c>
      <c r="D18" s="17"/>
      <c r="E18" s="14">
        <v>500000</v>
      </c>
      <c r="F18" s="14">
        <v>500000</v>
      </c>
      <c r="G18" s="14"/>
      <c r="H18" s="31"/>
      <c r="I18" s="10"/>
    </row>
    <row r="19" spans="1:10" x14ac:dyDescent="0.35">
      <c r="A19" s="10">
        <v>17</v>
      </c>
      <c r="B19" s="32" t="s">
        <v>36</v>
      </c>
      <c r="C19" s="12" t="s">
        <v>37</v>
      </c>
      <c r="D19" s="17"/>
      <c r="E19" s="14">
        <v>400000</v>
      </c>
      <c r="F19" s="14">
        <v>400000</v>
      </c>
      <c r="G19" s="14"/>
      <c r="H19" s="31"/>
      <c r="I19" s="10"/>
    </row>
    <row r="20" spans="1:10" x14ac:dyDescent="0.35">
      <c r="A20" s="10">
        <v>18</v>
      </c>
      <c r="B20" s="32" t="s">
        <v>38</v>
      </c>
      <c r="C20" s="12" t="s">
        <v>37</v>
      </c>
      <c r="D20" s="17"/>
      <c r="E20" s="14">
        <v>500000</v>
      </c>
      <c r="F20" s="14">
        <v>500000</v>
      </c>
      <c r="G20" s="14"/>
      <c r="H20" s="31"/>
      <c r="I20" s="10"/>
    </row>
    <row r="21" spans="1:10" x14ac:dyDescent="0.35">
      <c r="A21" s="10">
        <v>19</v>
      </c>
      <c r="B21" s="32" t="s">
        <v>39</v>
      </c>
      <c r="C21" s="12" t="s">
        <v>40</v>
      </c>
      <c r="D21" s="17"/>
      <c r="E21" s="14">
        <v>150000</v>
      </c>
      <c r="F21" s="14">
        <v>150000</v>
      </c>
      <c r="G21" s="14"/>
      <c r="H21" s="31"/>
      <c r="I21" s="10" t="s">
        <v>41</v>
      </c>
    </row>
    <row r="22" spans="1:10" x14ac:dyDescent="0.35">
      <c r="A22" s="10">
        <v>20</v>
      </c>
      <c r="B22" s="32" t="s">
        <v>42</v>
      </c>
      <c r="C22" s="12" t="s">
        <v>40</v>
      </c>
      <c r="D22" s="17"/>
      <c r="E22" s="14">
        <v>120000</v>
      </c>
      <c r="F22" s="14">
        <v>120000</v>
      </c>
      <c r="G22" s="14"/>
      <c r="H22" s="31"/>
      <c r="I22" s="10"/>
    </row>
    <row r="23" spans="1:10" x14ac:dyDescent="0.35">
      <c r="A23" s="10">
        <v>21</v>
      </c>
      <c r="B23" s="33" t="s">
        <v>43</v>
      </c>
      <c r="C23" s="12" t="s">
        <v>44</v>
      </c>
      <c r="D23" s="17"/>
      <c r="E23" s="18">
        <v>1400000</v>
      </c>
      <c r="F23" s="18">
        <v>800000</v>
      </c>
      <c r="G23" s="18">
        <f>E23-F23</f>
        <v>600000</v>
      </c>
      <c r="H23" s="31"/>
      <c r="I23" s="10"/>
    </row>
    <row r="24" spans="1:10" x14ac:dyDescent="0.35">
      <c r="A24" s="10">
        <v>22</v>
      </c>
      <c r="B24" s="34" t="s">
        <v>45</v>
      </c>
      <c r="C24" s="12" t="s">
        <v>44</v>
      </c>
      <c r="D24" s="17"/>
      <c r="E24" s="14">
        <v>1500000</v>
      </c>
      <c r="F24" s="14">
        <v>1500000</v>
      </c>
      <c r="G24" s="14"/>
      <c r="H24" s="31"/>
      <c r="I24" s="10"/>
    </row>
    <row r="25" spans="1:10" x14ac:dyDescent="0.35">
      <c r="A25" s="10">
        <v>23</v>
      </c>
      <c r="B25" s="32" t="s">
        <v>46</v>
      </c>
      <c r="C25" s="12" t="s">
        <v>44</v>
      </c>
      <c r="D25" s="17"/>
      <c r="E25" s="18">
        <v>13600000</v>
      </c>
      <c r="F25" s="18">
        <v>12200000</v>
      </c>
      <c r="G25" s="18">
        <f>E25-F25</f>
        <v>1400000</v>
      </c>
      <c r="H25" s="31"/>
      <c r="I25" s="10" t="s">
        <v>47</v>
      </c>
    </row>
    <row r="26" spans="1:10" x14ac:dyDescent="0.35">
      <c r="A26" s="10">
        <v>24</v>
      </c>
      <c r="B26" s="34" t="s">
        <v>48</v>
      </c>
      <c r="C26" s="12" t="s">
        <v>44</v>
      </c>
      <c r="D26" s="17"/>
      <c r="E26" s="14">
        <v>500000</v>
      </c>
      <c r="F26" s="14">
        <v>500000</v>
      </c>
      <c r="G26" s="14"/>
      <c r="H26" s="31"/>
      <c r="I26" s="10"/>
    </row>
    <row r="27" spans="1:10" ht="18" customHeight="1" x14ac:dyDescent="0.35">
      <c r="A27" s="10">
        <v>25</v>
      </c>
      <c r="B27" s="34" t="s">
        <v>49</v>
      </c>
      <c r="C27" s="12" t="s">
        <v>44</v>
      </c>
      <c r="D27" s="17"/>
      <c r="E27" s="14">
        <v>1500000</v>
      </c>
      <c r="F27" s="14">
        <v>1500000</v>
      </c>
      <c r="G27" s="14"/>
      <c r="H27" s="31"/>
      <c r="I27" s="10"/>
    </row>
    <row r="28" spans="1:10" x14ac:dyDescent="0.35">
      <c r="A28" s="10">
        <v>26</v>
      </c>
      <c r="B28" s="35" t="s">
        <v>24</v>
      </c>
      <c r="C28" s="12" t="s">
        <v>44</v>
      </c>
      <c r="D28" s="17"/>
      <c r="E28" s="14">
        <v>53135500</v>
      </c>
      <c r="F28" s="14">
        <v>53135500</v>
      </c>
      <c r="G28" s="14"/>
      <c r="H28" s="31"/>
      <c r="I28" s="10"/>
    </row>
    <row r="29" spans="1:10" x14ac:dyDescent="0.35">
      <c r="A29" s="10">
        <v>27</v>
      </c>
      <c r="B29" s="29" t="s">
        <v>50</v>
      </c>
      <c r="C29" s="12" t="s">
        <v>44</v>
      </c>
      <c r="D29" s="30"/>
      <c r="E29" s="18">
        <v>15000000</v>
      </c>
      <c r="F29" s="18">
        <v>11648700</v>
      </c>
      <c r="G29" s="18">
        <f>E29-F29</f>
        <v>3351300</v>
      </c>
      <c r="H29" s="31"/>
      <c r="I29" s="10"/>
    </row>
    <row r="30" spans="1:10" x14ac:dyDescent="0.35">
      <c r="A30" s="10">
        <v>28</v>
      </c>
      <c r="B30" s="34" t="s">
        <v>51</v>
      </c>
      <c r="C30" s="12" t="s">
        <v>52</v>
      </c>
      <c r="D30" s="13">
        <v>46031</v>
      </c>
      <c r="E30" s="23">
        <v>7000000</v>
      </c>
      <c r="F30" s="23">
        <v>7000000</v>
      </c>
      <c r="G30" s="23"/>
      <c r="H30" s="24"/>
      <c r="I30" s="10"/>
      <c r="J30" s="16"/>
    </row>
    <row r="31" spans="1:10" x14ac:dyDescent="0.35">
      <c r="A31" s="10">
        <v>29</v>
      </c>
      <c r="B31" s="36" t="s">
        <v>53</v>
      </c>
      <c r="C31" s="12" t="s">
        <v>52</v>
      </c>
      <c r="D31" s="17"/>
      <c r="E31" s="18">
        <v>12490000</v>
      </c>
      <c r="F31" s="18">
        <v>10661721</v>
      </c>
      <c r="G31" s="18">
        <f>E31-F31</f>
        <v>1828279</v>
      </c>
      <c r="H31" s="31"/>
      <c r="I31" s="10"/>
    </row>
    <row r="32" spans="1:10" x14ac:dyDescent="0.35">
      <c r="A32" s="10">
        <v>30</v>
      </c>
      <c r="B32" s="37" t="s">
        <v>54</v>
      </c>
      <c r="C32" s="12" t="s">
        <v>52</v>
      </c>
      <c r="D32" s="17"/>
      <c r="E32" s="18">
        <v>7245800</v>
      </c>
      <c r="F32" s="18">
        <v>7256768</v>
      </c>
      <c r="G32" s="38">
        <f>E32-F32</f>
        <v>-10968</v>
      </c>
      <c r="H32" s="31"/>
      <c r="I32" s="10"/>
    </row>
    <row r="33" spans="1:10" ht="18" customHeight="1" x14ac:dyDescent="0.35">
      <c r="A33" s="10">
        <v>31</v>
      </c>
      <c r="B33" s="34" t="s">
        <v>55</v>
      </c>
      <c r="C33" s="12" t="s">
        <v>52</v>
      </c>
      <c r="D33" s="30"/>
      <c r="E33" s="18">
        <v>15000000</v>
      </c>
      <c r="F33" s="18">
        <v>800000</v>
      </c>
      <c r="G33" s="18">
        <f>E33-F33</f>
        <v>14200000</v>
      </c>
      <c r="H33" s="31"/>
      <c r="I33" s="10"/>
    </row>
    <row r="34" spans="1:10" x14ac:dyDescent="0.35">
      <c r="A34" s="10">
        <v>32</v>
      </c>
      <c r="B34" s="32" t="s">
        <v>56</v>
      </c>
      <c r="C34" s="10" t="s">
        <v>57</v>
      </c>
      <c r="D34" s="13">
        <v>46037</v>
      </c>
      <c r="E34" s="23">
        <v>160000</v>
      </c>
      <c r="F34" s="23">
        <v>160000</v>
      </c>
      <c r="G34" s="23"/>
      <c r="H34" s="24"/>
      <c r="I34" s="10"/>
      <c r="J34" s="16"/>
    </row>
    <row r="35" spans="1:10" ht="18" customHeight="1" x14ac:dyDescent="0.35">
      <c r="A35" s="10">
        <v>33</v>
      </c>
      <c r="B35" s="32" t="s">
        <v>58</v>
      </c>
      <c r="C35" s="12" t="s">
        <v>59</v>
      </c>
      <c r="D35" s="17"/>
      <c r="E35" s="23">
        <v>310000</v>
      </c>
      <c r="F35" s="23">
        <v>310000</v>
      </c>
      <c r="G35" s="23"/>
      <c r="H35" s="24"/>
      <c r="I35" s="10"/>
    </row>
    <row r="36" spans="1:10" x14ac:dyDescent="0.35">
      <c r="A36" s="10">
        <v>34</v>
      </c>
      <c r="B36" s="32" t="s">
        <v>60</v>
      </c>
      <c r="C36" s="12" t="s">
        <v>59</v>
      </c>
      <c r="D36" s="17"/>
      <c r="E36" s="23">
        <v>460000</v>
      </c>
      <c r="F36" s="23">
        <v>460000</v>
      </c>
      <c r="G36" s="23"/>
      <c r="H36" s="24"/>
      <c r="I36" s="10"/>
    </row>
    <row r="37" spans="1:10" x14ac:dyDescent="0.35">
      <c r="A37" s="10">
        <v>35</v>
      </c>
      <c r="B37" s="32" t="s">
        <v>61</v>
      </c>
      <c r="C37" s="12" t="s">
        <v>62</v>
      </c>
      <c r="D37" s="17"/>
      <c r="E37" s="23">
        <v>2500000</v>
      </c>
      <c r="F37" s="23">
        <v>2500000</v>
      </c>
      <c r="G37" s="23"/>
      <c r="H37" s="24"/>
      <c r="I37" s="10"/>
    </row>
    <row r="38" spans="1:10" ht="18" customHeight="1" x14ac:dyDescent="0.35">
      <c r="A38" s="10">
        <v>36</v>
      </c>
      <c r="B38" s="34" t="s">
        <v>63</v>
      </c>
      <c r="C38" s="12" t="s">
        <v>62</v>
      </c>
      <c r="D38" s="17"/>
      <c r="E38" s="14">
        <v>9850000</v>
      </c>
      <c r="F38" s="14">
        <v>9850000</v>
      </c>
      <c r="G38" s="14"/>
      <c r="H38" s="31"/>
      <c r="I38" s="10"/>
    </row>
    <row r="39" spans="1:10" x14ac:dyDescent="0.35">
      <c r="A39" s="10">
        <v>37</v>
      </c>
      <c r="B39" s="34" t="s">
        <v>64</v>
      </c>
      <c r="C39" s="12" t="s">
        <v>62</v>
      </c>
      <c r="D39" s="17"/>
      <c r="E39" s="14">
        <v>4500000</v>
      </c>
      <c r="F39" s="14">
        <v>4500000</v>
      </c>
      <c r="G39" s="14"/>
      <c r="H39" s="31"/>
      <c r="I39" s="10"/>
    </row>
    <row r="40" spans="1:10" x14ac:dyDescent="0.35">
      <c r="A40" s="10">
        <v>38</v>
      </c>
      <c r="B40" s="32" t="s">
        <v>20</v>
      </c>
      <c r="C40" s="12" t="s">
        <v>65</v>
      </c>
      <c r="D40" s="17"/>
      <c r="E40" s="14">
        <v>400000</v>
      </c>
      <c r="F40" s="14">
        <v>400000</v>
      </c>
      <c r="G40" s="14"/>
      <c r="H40" s="31"/>
      <c r="I40" s="10"/>
    </row>
    <row r="41" spans="1:10" x14ac:dyDescent="0.35">
      <c r="A41" s="10">
        <v>39</v>
      </c>
      <c r="B41" s="39" t="s">
        <v>66</v>
      </c>
      <c r="C41" s="12" t="s">
        <v>67</v>
      </c>
      <c r="D41" s="17"/>
      <c r="E41" s="18">
        <v>8800000</v>
      </c>
      <c r="F41" s="18">
        <v>14638400</v>
      </c>
      <c r="G41" s="38">
        <f>E41-F41</f>
        <v>-5838400</v>
      </c>
      <c r="H41" s="31"/>
      <c r="I41" s="10"/>
    </row>
    <row r="42" spans="1:10" ht="18" customHeight="1" x14ac:dyDescent="0.35">
      <c r="A42" s="10">
        <v>40</v>
      </c>
      <c r="B42" s="34" t="s">
        <v>68</v>
      </c>
      <c r="C42" s="12" t="s">
        <v>67</v>
      </c>
      <c r="D42" s="17"/>
      <c r="E42" s="14">
        <v>26000000</v>
      </c>
      <c r="F42" s="14">
        <v>26000000</v>
      </c>
      <c r="G42" s="14"/>
      <c r="H42" s="31"/>
      <c r="I42" s="10"/>
    </row>
    <row r="43" spans="1:10" x14ac:dyDescent="0.35">
      <c r="A43" s="10">
        <v>41</v>
      </c>
      <c r="B43" s="40" t="s">
        <v>24</v>
      </c>
      <c r="C43" s="12" t="s">
        <v>67</v>
      </c>
      <c r="D43" s="17"/>
      <c r="E43" s="14">
        <v>5386000</v>
      </c>
      <c r="F43" s="14">
        <v>5386000</v>
      </c>
      <c r="G43" s="14"/>
      <c r="H43" s="31"/>
      <c r="I43" s="10"/>
    </row>
    <row r="44" spans="1:10" x14ac:dyDescent="0.35">
      <c r="A44" s="10">
        <v>42</v>
      </c>
      <c r="B44" s="33" t="s">
        <v>69</v>
      </c>
      <c r="C44" s="12" t="s">
        <v>67</v>
      </c>
      <c r="D44" s="17"/>
      <c r="E44" s="31">
        <v>2050000</v>
      </c>
      <c r="F44" s="31">
        <v>2050000</v>
      </c>
      <c r="G44" s="31"/>
      <c r="H44" s="31"/>
      <c r="I44" s="10"/>
    </row>
    <row r="45" spans="1:10" x14ac:dyDescent="0.35">
      <c r="A45" s="10">
        <v>43</v>
      </c>
      <c r="B45" s="32" t="s">
        <v>70</v>
      </c>
      <c r="C45" s="12" t="s">
        <v>67</v>
      </c>
      <c r="D45" s="17"/>
      <c r="E45" s="14">
        <v>1250000</v>
      </c>
      <c r="F45" s="14">
        <v>1250000</v>
      </c>
      <c r="G45" s="14"/>
      <c r="H45" s="31"/>
      <c r="I45" s="10"/>
    </row>
    <row r="46" spans="1:10" x14ac:dyDescent="0.35">
      <c r="A46" s="10">
        <v>44</v>
      </c>
      <c r="B46" s="32" t="s">
        <v>71</v>
      </c>
      <c r="C46" s="12" t="s">
        <v>67</v>
      </c>
      <c r="D46" s="17"/>
      <c r="E46" s="14">
        <v>1400000</v>
      </c>
      <c r="F46" s="14">
        <v>1400000</v>
      </c>
      <c r="G46" s="14"/>
      <c r="H46" s="31"/>
      <c r="I46" s="10"/>
    </row>
    <row r="47" spans="1:10" x14ac:dyDescent="0.35">
      <c r="A47" s="10">
        <v>45</v>
      </c>
      <c r="B47" s="32" t="s">
        <v>72</v>
      </c>
      <c r="C47" s="12" t="s">
        <v>73</v>
      </c>
      <c r="D47" s="17"/>
      <c r="E47" s="14">
        <v>1400000</v>
      </c>
      <c r="F47" s="14">
        <v>1400000</v>
      </c>
      <c r="G47" s="14"/>
      <c r="H47" s="31"/>
      <c r="I47" s="10"/>
    </row>
    <row r="48" spans="1:10" ht="18" customHeight="1" x14ac:dyDescent="0.35">
      <c r="A48" s="10">
        <v>46</v>
      </c>
      <c r="B48" s="32" t="s">
        <v>74</v>
      </c>
      <c r="C48" s="12" t="s">
        <v>73</v>
      </c>
      <c r="D48" s="17"/>
      <c r="E48" s="14">
        <v>200000</v>
      </c>
      <c r="F48" s="14">
        <v>200000</v>
      </c>
      <c r="G48" s="14"/>
      <c r="H48" s="31"/>
      <c r="I48" s="10"/>
    </row>
    <row r="49" spans="1:10" x14ac:dyDescent="0.35">
      <c r="A49" s="10">
        <v>47</v>
      </c>
      <c r="B49" s="34" t="s">
        <v>75</v>
      </c>
      <c r="C49" s="12" t="s">
        <v>73</v>
      </c>
      <c r="D49" s="30"/>
      <c r="E49" s="14">
        <v>10000000</v>
      </c>
      <c r="F49" s="14">
        <v>10000000</v>
      </c>
      <c r="G49" s="14"/>
      <c r="H49" s="31"/>
      <c r="I49" s="10" t="s">
        <v>76</v>
      </c>
    </row>
    <row r="50" spans="1:10" x14ac:dyDescent="0.35">
      <c r="A50" s="10"/>
      <c r="B50" s="41" t="s">
        <v>77</v>
      </c>
      <c r="C50" s="12">
        <v>46042</v>
      </c>
      <c r="D50" s="12">
        <v>46042</v>
      </c>
      <c r="E50" s="14">
        <v>166950000</v>
      </c>
      <c r="F50" s="14">
        <v>166950000</v>
      </c>
      <c r="G50" s="14"/>
      <c r="H50" s="31"/>
      <c r="I50" s="10"/>
    </row>
    <row r="51" spans="1:10" x14ac:dyDescent="0.35">
      <c r="A51" s="10">
        <v>48</v>
      </c>
      <c r="B51" s="32" t="s">
        <v>78</v>
      </c>
      <c r="C51" s="12" t="s">
        <v>79</v>
      </c>
      <c r="D51" s="13">
        <v>46044</v>
      </c>
      <c r="E51" s="23">
        <v>10825000</v>
      </c>
      <c r="F51" s="23">
        <v>10825000</v>
      </c>
      <c r="G51" s="23"/>
      <c r="H51" s="24"/>
      <c r="I51" s="10"/>
      <c r="J51" s="16"/>
    </row>
    <row r="52" spans="1:10" x14ac:dyDescent="0.35">
      <c r="A52" s="10">
        <v>49</v>
      </c>
      <c r="B52" s="32" t="s">
        <v>80</v>
      </c>
      <c r="C52" s="12" t="s">
        <v>79</v>
      </c>
      <c r="D52" s="17"/>
      <c r="E52" s="23">
        <v>4100000</v>
      </c>
      <c r="F52" s="23">
        <v>4100000</v>
      </c>
      <c r="G52" s="23"/>
      <c r="H52" s="24"/>
      <c r="I52" s="10"/>
    </row>
    <row r="53" spans="1:10" x14ac:dyDescent="0.35">
      <c r="A53" s="10">
        <v>50</v>
      </c>
      <c r="B53" s="32" t="s">
        <v>81</v>
      </c>
      <c r="C53" s="12" t="s">
        <v>79</v>
      </c>
      <c r="D53" s="17"/>
      <c r="E53" s="42">
        <v>14250000</v>
      </c>
      <c r="F53" s="42">
        <v>14050000</v>
      </c>
      <c r="G53" s="42">
        <f>E53-F53</f>
        <v>200000</v>
      </c>
      <c r="H53" s="24"/>
      <c r="I53" s="10"/>
    </row>
    <row r="54" spans="1:10" x14ac:dyDescent="0.35">
      <c r="A54" s="10">
        <v>51</v>
      </c>
      <c r="B54" s="32" t="s">
        <v>82</v>
      </c>
      <c r="C54" s="12" t="s">
        <v>79</v>
      </c>
      <c r="D54" s="17"/>
      <c r="E54" s="42">
        <v>4450000</v>
      </c>
      <c r="F54" s="42">
        <v>4300000</v>
      </c>
      <c r="G54" s="42">
        <f>E54-F54</f>
        <v>150000</v>
      </c>
      <c r="H54" s="24"/>
      <c r="I54" s="10"/>
    </row>
    <row r="55" spans="1:10" x14ac:dyDescent="0.35">
      <c r="A55" s="10">
        <v>52</v>
      </c>
      <c r="B55" s="34" t="s">
        <v>83</v>
      </c>
      <c r="C55" s="12" t="s">
        <v>84</v>
      </c>
      <c r="D55" s="17"/>
      <c r="E55" s="23">
        <v>5400000</v>
      </c>
      <c r="F55" s="23">
        <v>5400000</v>
      </c>
      <c r="G55" s="23"/>
      <c r="H55" s="24"/>
      <c r="I55" s="10"/>
    </row>
    <row r="56" spans="1:10" ht="18" customHeight="1" x14ac:dyDescent="0.35">
      <c r="A56" s="10">
        <v>53</v>
      </c>
      <c r="B56" s="34" t="s">
        <v>85</v>
      </c>
      <c r="C56" s="12" t="s">
        <v>84</v>
      </c>
      <c r="D56" s="17"/>
      <c r="E56" s="23">
        <v>1600000</v>
      </c>
      <c r="F56" s="23">
        <v>1600000</v>
      </c>
      <c r="G56" s="23"/>
      <c r="H56" s="24"/>
      <c r="I56" s="10"/>
    </row>
    <row r="57" spans="1:10" x14ac:dyDescent="0.35">
      <c r="A57" s="10">
        <v>54</v>
      </c>
      <c r="B57" s="32" t="s">
        <v>86</v>
      </c>
      <c r="C57" s="12" t="s">
        <v>84</v>
      </c>
      <c r="D57" s="17"/>
      <c r="E57" s="14">
        <v>500000</v>
      </c>
      <c r="F57" s="14">
        <v>500000</v>
      </c>
      <c r="G57" s="14"/>
      <c r="H57" s="31"/>
      <c r="I57" s="10"/>
    </row>
    <row r="58" spans="1:10" x14ac:dyDescent="0.35">
      <c r="A58" s="10">
        <v>55</v>
      </c>
      <c r="B58" s="33" t="s">
        <v>87</v>
      </c>
      <c r="C58" s="12" t="s">
        <v>84</v>
      </c>
      <c r="D58" s="17"/>
      <c r="E58" s="14">
        <v>500000</v>
      </c>
      <c r="F58" s="14">
        <v>500000</v>
      </c>
      <c r="G58" s="14"/>
      <c r="H58" s="31"/>
      <c r="I58" s="10"/>
    </row>
    <row r="59" spans="1:10" x14ac:dyDescent="0.35">
      <c r="A59" s="10">
        <v>56</v>
      </c>
      <c r="B59" s="32" t="s">
        <v>88</v>
      </c>
      <c r="C59" s="12" t="s">
        <v>84</v>
      </c>
      <c r="D59" s="17"/>
      <c r="E59" s="14">
        <v>185000</v>
      </c>
      <c r="F59" s="14">
        <v>185000</v>
      </c>
      <c r="G59" s="14"/>
      <c r="H59" s="31"/>
      <c r="I59" s="10"/>
    </row>
    <row r="60" spans="1:10" x14ac:dyDescent="0.35">
      <c r="A60" s="10">
        <v>57</v>
      </c>
      <c r="B60" s="32" t="s">
        <v>89</v>
      </c>
      <c r="C60" s="12" t="s">
        <v>84</v>
      </c>
      <c r="D60" s="17"/>
      <c r="E60" s="18">
        <v>9850000</v>
      </c>
      <c r="F60" s="18">
        <v>9550000</v>
      </c>
      <c r="G60" s="18">
        <f>E60-F60</f>
        <v>300000</v>
      </c>
      <c r="H60" s="31"/>
      <c r="I60" s="10" t="s">
        <v>90</v>
      </c>
    </row>
    <row r="61" spans="1:10" x14ac:dyDescent="0.35">
      <c r="A61" s="10">
        <v>58</v>
      </c>
      <c r="B61" s="32" t="s">
        <v>91</v>
      </c>
      <c r="C61" s="12" t="s">
        <v>92</v>
      </c>
      <c r="D61" s="17"/>
      <c r="E61" s="14">
        <v>3000000</v>
      </c>
      <c r="F61" s="14">
        <v>3000000</v>
      </c>
      <c r="G61" s="14"/>
      <c r="H61" s="31"/>
      <c r="I61" s="10"/>
    </row>
    <row r="62" spans="1:10" x14ac:dyDescent="0.35">
      <c r="A62" s="10">
        <v>59</v>
      </c>
      <c r="B62" s="32" t="s">
        <v>93</v>
      </c>
      <c r="C62" s="12" t="s">
        <v>94</v>
      </c>
      <c r="D62" s="17"/>
      <c r="E62" s="14">
        <v>16825000</v>
      </c>
      <c r="F62" s="14">
        <v>16825000</v>
      </c>
      <c r="G62" s="14"/>
      <c r="H62" s="31"/>
      <c r="I62" s="10"/>
    </row>
    <row r="63" spans="1:10" x14ac:dyDescent="0.35">
      <c r="A63" s="10">
        <v>60</v>
      </c>
      <c r="B63" s="32" t="s">
        <v>95</v>
      </c>
      <c r="C63" s="12" t="s">
        <v>94</v>
      </c>
      <c r="D63" s="17"/>
      <c r="E63" s="14">
        <v>400000</v>
      </c>
      <c r="F63" s="14">
        <v>400000</v>
      </c>
      <c r="G63" s="14"/>
      <c r="H63" s="31"/>
      <c r="I63" s="10"/>
    </row>
    <row r="64" spans="1:10" x14ac:dyDescent="0.35">
      <c r="A64" s="10">
        <v>61</v>
      </c>
      <c r="B64" s="32" t="s">
        <v>96</v>
      </c>
      <c r="C64" s="12" t="s">
        <v>97</v>
      </c>
      <c r="D64" s="17"/>
      <c r="E64" s="14">
        <v>2850000</v>
      </c>
      <c r="F64" s="14">
        <v>2850000</v>
      </c>
      <c r="G64" s="14"/>
      <c r="H64" s="31"/>
      <c r="I64" s="10"/>
    </row>
    <row r="65" spans="1:10" x14ac:dyDescent="0.35">
      <c r="A65" s="10">
        <v>62</v>
      </c>
      <c r="B65" s="40" t="s">
        <v>98</v>
      </c>
      <c r="C65" s="12" t="s">
        <v>97</v>
      </c>
      <c r="D65" s="17"/>
      <c r="E65" s="14">
        <v>6589000</v>
      </c>
      <c r="F65" s="14">
        <v>6589000</v>
      </c>
      <c r="G65" s="14"/>
      <c r="H65" s="31"/>
      <c r="I65" s="10"/>
    </row>
    <row r="66" spans="1:10" x14ac:dyDescent="0.35">
      <c r="A66" s="10">
        <v>63</v>
      </c>
      <c r="B66" s="32" t="s">
        <v>91</v>
      </c>
      <c r="C66" s="12" t="s">
        <v>99</v>
      </c>
      <c r="D66" s="17"/>
      <c r="E66" s="14">
        <v>4200000</v>
      </c>
      <c r="F66" s="14">
        <v>4200000</v>
      </c>
      <c r="G66" s="14"/>
      <c r="H66" s="31"/>
      <c r="I66" s="10"/>
    </row>
    <row r="67" spans="1:10" x14ac:dyDescent="0.35">
      <c r="A67" s="10">
        <v>64</v>
      </c>
      <c r="B67" s="39" t="s">
        <v>31</v>
      </c>
      <c r="C67" s="12" t="s">
        <v>99</v>
      </c>
      <c r="D67" s="17"/>
      <c r="E67" s="18">
        <v>10000000</v>
      </c>
      <c r="F67" s="18">
        <v>6934400</v>
      </c>
      <c r="G67" s="18">
        <f>E67-F67</f>
        <v>3065600</v>
      </c>
      <c r="H67" s="31"/>
      <c r="I67" s="10"/>
    </row>
    <row r="68" spans="1:10" x14ac:dyDescent="0.35">
      <c r="A68" s="10">
        <v>65</v>
      </c>
      <c r="B68" s="37" t="s">
        <v>54</v>
      </c>
      <c r="C68" s="12" t="s">
        <v>99</v>
      </c>
      <c r="D68" s="30"/>
      <c r="E68" s="18">
        <v>7533000</v>
      </c>
      <c r="F68" s="18">
        <v>7413000</v>
      </c>
      <c r="G68" s="18">
        <f>E68-F68</f>
        <v>120000</v>
      </c>
      <c r="H68" s="31"/>
      <c r="I68" s="10"/>
    </row>
    <row r="69" spans="1:10" x14ac:dyDescent="0.35">
      <c r="A69" s="10">
        <v>66</v>
      </c>
      <c r="B69" s="34" t="s">
        <v>100</v>
      </c>
      <c r="C69" s="12" t="s">
        <v>101</v>
      </c>
      <c r="D69" s="13">
        <v>46052</v>
      </c>
      <c r="E69" s="24">
        <v>16730000</v>
      </c>
      <c r="F69" s="24">
        <v>16730000</v>
      </c>
      <c r="G69" s="24"/>
      <c r="H69" s="24"/>
      <c r="I69" s="10"/>
      <c r="J69" s="16"/>
    </row>
    <row r="70" spans="1:10" x14ac:dyDescent="0.35">
      <c r="A70" s="10">
        <v>67</v>
      </c>
      <c r="B70" s="32" t="s">
        <v>102</v>
      </c>
      <c r="C70" s="12" t="s">
        <v>103</v>
      </c>
      <c r="D70" s="17"/>
      <c r="E70" s="23">
        <v>1750000</v>
      </c>
      <c r="F70" s="23">
        <v>1750000</v>
      </c>
      <c r="G70" s="23"/>
      <c r="H70" s="24"/>
      <c r="I70" s="10"/>
    </row>
    <row r="71" spans="1:10" x14ac:dyDescent="0.35">
      <c r="A71" s="10">
        <v>68</v>
      </c>
      <c r="B71" s="32" t="s">
        <v>20</v>
      </c>
      <c r="C71" s="12" t="s">
        <v>104</v>
      </c>
      <c r="D71" s="17"/>
      <c r="E71" s="23">
        <v>400000</v>
      </c>
      <c r="F71" s="23">
        <v>400000</v>
      </c>
      <c r="G71" s="23"/>
      <c r="H71" s="24"/>
      <c r="I71" s="10"/>
    </row>
    <row r="72" spans="1:10" x14ac:dyDescent="0.35">
      <c r="A72" s="10">
        <v>69</v>
      </c>
      <c r="B72" s="33" t="s">
        <v>105</v>
      </c>
      <c r="C72" s="12" t="s">
        <v>106</v>
      </c>
      <c r="D72" s="17"/>
      <c r="E72" s="23">
        <v>130000</v>
      </c>
      <c r="F72" s="23">
        <v>130000</v>
      </c>
      <c r="G72" s="23"/>
      <c r="H72" s="24"/>
      <c r="I72" s="10"/>
    </row>
    <row r="73" spans="1:10" x14ac:dyDescent="0.35">
      <c r="A73" s="10">
        <v>70</v>
      </c>
      <c r="B73" s="33" t="s">
        <v>107</v>
      </c>
      <c r="C73" s="12" t="s">
        <v>108</v>
      </c>
      <c r="D73" s="17"/>
      <c r="E73" s="23">
        <v>2000000</v>
      </c>
      <c r="F73" s="23">
        <v>2000000</v>
      </c>
      <c r="G73" s="23"/>
      <c r="H73" s="24"/>
      <c r="I73" s="10"/>
    </row>
    <row r="74" spans="1:10" ht="18" customHeight="1" x14ac:dyDescent="0.35">
      <c r="A74" s="10">
        <v>71</v>
      </c>
      <c r="B74" s="32" t="s">
        <v>109</v>
      </c>
      <c r="C74" s="12" t="s">
        <v>108</v>
      </c>
      <c r="D74" s="17"/>
      <c r="E74" s="42">
        <v>3350000</v>
      </c>
      <c r="F74" s="42">
        <v>2550000</v>
      </c>
      <c r="G74" s="42">
        <f>E74-F74</f>
        <v>800000</v>
      </c>
      <c r="H74" s="24"/>
      <c r="I74" s="10"/>
    </row>
    <row r="75" spans="1:10" x14ac:dyDescent="0.35">
      <c r="A75" s="10">
        <v>72</v>
      </c>
      <c r="B75" s="39" t="s">
        <v>31</v>
      </c>
      <c r="C75" s="12" t="s">
        <v>108</v>
      </c>
      <c r="D75" s="17"/>
      <c r="E75" s="18">
        <v>7300000</v>
      </c>
      <c r="F75" s="18">
        <v>9978300</v>
      </c>
      <c r="G75" s="18">
        <f>E75-F75</f>
        <v>-2678300</v>
      </c>
      <c r="H75" s="31"/>
      <c r="I75" s="10"/>
    </row>
    <row r="76" spans="1:10" x14ac:dyDescent="0.35">
      <c r="A76" s="10">
        <v>73</v>
      </c>
      <c r="B76" s="34" t="s">
        <v>110</v>
      </c>
      <c r="C76" s="12" t="s">
        <v>108</v>
      </c>
      <c r="D76" s="17"/>
      <c r="E76" s="14">
        <v>7500000</v>
      </c>
      <c r="F76" s="14">
        <v>7500000</v>
      </c>
      <c r="G76" s="14"/>
      <c r="H76" s="31"/>
      <c r="I76" s="10"/>
    </row>
    <row r="77" spans="1:10" x14ac:dyDescent="0.35">
      <c r="A77" s="10">
        <v>74</v>
      </c>
      <c r="B77" s="34" t="s">
        <v>111</v>
      </c>
      <c r="C77" s="12" t="s">
        <v>108</v>
      </c>
      <c r="D77" s="17"/>
      <c r="E77" s="14">
        <v>48482500</v>
      </c>
      <c r="F77" s="14">
        <v>48482500</v>
      </c>
      <c r="G77" s="14"/>
      <c r="H77" s="31"/>
      <c r="I77" s="10"/>
    </row>
    <row r="78" spans="1:10" x14ac:dyDescent="0.35">
      <c r="A78" s="10">
        <v>75</v>
      </c>
      <c r="B78" s="32" t="s">
        <v>112</v>
      </c>
      <c r="C78" s="12" t="s">
        <v>108</v>
      </c>
      <c r="D78" s="30"/>
      <c r="E78" s="14">
        <v>2200000</v>
      </c>
      <c r="F78" s="14">
        <v>2200000</v>
      </c>
      <c r="G78" s="14"/>
      <c r="H78" s="31"/>
      <c r="I78" s="10"/>
    </row>
    <row r="79" spans="1:10" x14ac:dyDescent="0.35">
      <c r="A79" s="43"/>
      <c r="G79" s="16"/>
      <c r="H79" s="16"/>
    </row>
    <row r="80" spans="1:10" x14ac:dyDescent="0.35">
      <c r="A80" s="43"/>
      <c r="E80" s="16">
        <f>SUM(E3:E78)</f>
        <v>689772300</v>
      </c>
      <c r="F80" s="16">
        <f>SUM(F3:F78)</f>
        <v>666937789</v>
      </c>
      <c r="G80" s="16">
        <f>SUM(G3:G78)</f>
        <v>22834511</v>
      </c>
    </row>
    <row r="81" spans="1:7" x14ac:dyDescent="0.35">
      <c r="A81" s="43"/>
      <c r="B81" s="45" t="s">
        <v>113</v>
      </c>
      <c r="C81" s="46">
        <v>416669678</v>
      </c>
      <c r="F81" s="5" t="s">
        <v>114</v>
      </c>
    </row>
    <row r="82" spans="1:7" x14ac:dyDescent="0.35">
      <c r="B82" s="47" t="s">
        <v>115</v>
      </c>
      <c r="C82" s="48">
        <v>862625000</v>
      </c>
      <c r="D82" s="49"/>
      <c r="F82" s="16"/>
      <c r="G82" s="16"/>
    </row>
    <row r="83" spans="1:7" ht="18.600000000000001" thickBot="1" x14ac:dyDescent="0.4">
      <c r="B83" s="50" t="s">
        <v>116</v>
      </c>
      <c r="C83" s="51">
        <v>519625000</v>
      </c>
      <c r="D83" s="52"/>
    </row>
    <row r="84" spans="1:7" x14ac:dyDescent="0.35">
      <c r="B84" s="53" t="s">
        <v>5</v>
      </c>
      <c r="C84" s="54">
        <f>E80</f>
        <v>689772300</v>
      </c>
      <c r="E84" s="16"/>
      <c r="F84" s="16"/>
    </row>
    <row r="85" spans="1:7" x14ac:dyDescent="0.35">
      <c r="B85" s="47" t="s">
        <v>6</v>
      </c>
      <c r="C85" s="48">
        <f>F80</f>
        <v>666937789</v>
      </c>
      <c r="D85" s="49"/>
      <c r="E85" s="55"/>
      <c r="F85" s="56"/>
    </row>
    <row r="86" spans="1:7" ht="18.600000000000001" thickBot="1" x14ac:dyDescent="0.4">
      <c r="B86" s="50" t="s">
        <v>117</v>
      </c>
      <c r="C86" s="57">
        <f>G80</f>
        <v>22834511</v>
      </c>
      <c r="D86" s="52"/>
      <c r="E86" s="52"/>
      <c r="F86" s="52"/>
    </row>
    <row r="87" spans="1:7" x14ac:dyDescent="0.35">
      <c r="B87" s="58" t="s">
        <v>118</v>
      </c>
      <c r="C87" s="59">
        <f>E142</f>
        <v>9080000</v>
      </c>
      <c r="D87" s="52"/>
      <c r="E87" s="52"/>
      <c r="F87" s="52"/>
    </row>
    <row r="88" spans="1:7" ht="18.600000000000001" thickBot="1" x14ac:dyDescent="0.4">
      <c r="B88" s="50" t="s">
        <v>119</v>
      </c>
      <c r="C88" s="57">
        <f>C85-C87</f>
        <v>657857789</v>
      </c>
      <c r="D88" s="52"/>
      <c r="E88" s="52"/>
      <c r="F88" s="52"/>
    </row>
    <row r="89" spans="1:7" ht="18.600000000000001" thickBot="1" x14ac:dyDescent="0.4">
      <c r="B89" s="60" t="s">
        <v>120</v>
      </c>
      <c r="C89" s="61">
        <f>C81+C83-C88</f>
        <v>278436889</v>
      </c>
    </row>
    <row r="90" spans="1:7" x14ac:dyDescent="0.35">
      <c r="B90" s="53" t="s">
        <v>121</v>
      </c>
      <c r="C90" s="62">
        <v>1031597176</v>
      </c>
    </row>
    <row r="91" spans="1:7" x14ac:dyDescent="0.35">
      <c r="B91" s="63" t="s">
        <v>122</v>
      </c>
      <c r="C91" s="64">
        <f>C90-C89</f>
        <v>753160287</v>
      </c>
    </row>
    <row r="96" spans="1:7" x14ac:dyDescent="0.35">
      <c r="A96" s="65" t="s">
        <v>0</v>
      </c>
      <c r="B96" s="65" t="s">
        <v>123</v>
      </c>
      <c r="C96" s="65" t="s">
        <v>5</v>
      </c>
      <c r="D96" s="65" t="s">
        <v>6</v>
      </c>
      <c r="E96" s="65" t="s">
        <v>7</v>
      </c>
      <c r="F96" s="56"/>
      <c r="G96" s="56"/>
    </row>
    <row r="97" spans="1:6" x14ac:dyDescent="0.35">
      <c r="A97" s="66">
        <v>1</v>
      </c>
      <c r="B97" s="66" t="s">
        <v>124</v>
      </c>
      <c r="C97" s="67">
        <v>124415500</v>
      </c>
      <c r="D97" s="67">
        <v>119068500</v>
      </c>
      <c r="E97" s="68">
        <f>C97-D97</f>
        <v>5347000</v>
      </c>
      <c r="F97" s="16"/>
    </row>
    <row r="98" spans="1:6" x14ac:dyDescent="0.35">
      <c r="A98" s="66">
        <v>2</v>
      </c>
      <c r="B98" s="66" t="s">
        <v>125</v>
      </c>
      <c r="C98" s="67">
        <v>89105500</v>
      </c>
      <c r="D98" s="67">
        <v>83754200</v>
      </c>
      <c r="E98" s="68">
        <f t="shared" ref="E98:E103" si="0">C98-D98</f>
        <v>5351300</v>
      </c>
      <c r="F98" s="56"/>
    </row>
    <row r="99" spans="1:6" x14ac:dyDescent="0.35">
      <c r="A99" s="66">
        <v>3</v>
      </c>
      <c r="B99" s="66" t="s">
        <v>126</v>
      </c>
      <c r="C99" s="67">
        <v>41735800</v>
      </c>
      <c r="D99" s="67">
        <v>25718489</v>
      </c>
      <c r="E99" s="68">
        <f t="shared" si="0"/>
        <v>16017311</v>
      </c>
      <c r="F99" s="16"/>
    </row>
    <row r="100" spans="1:6" x14ac:dyDescent="0.35">
      <c r="A100" s="66">
        <v>4</v>
      </c>
      <c r="B100" s="66" t="s">
        <v>127</v>
      </c>
      <c r="C100" s="67">
        <v>74666000</v>
      </c>
      <c r="D100" s="67">
        <v>80504400</v>
      </c>
      <c r="E100" s="68">
        <f t="shared" si="0"/>
        <v>-5838400</v>
      </c>
    </row>
    <row r="101" spans="1:6" x14ac:dyDescent="0.35">
      <c r="A101" s="66">
        <v>5</v>
      </c>
      <c r="B101" s="66" t="s">
        <v>128</v>
      </c>
      <c r="C101" s="67">
        <v>166950000</v>
      </c>
      <c r="D101" s="67">
        <v>166950000</v>
      </c>
      <c r="E101" s="68">
        <f t="shared" si="0"/>
        <v>0</v>
      </c>
    </row>
    <row r="102" spans="1:6" x14ac:dyDescent="0.35">
      <c r="A102" s="66">
        <v>6</v>
      </c>
      <c r="B102" s="66" t="s">
        <v>129</v>
      </c>
      <c r="C102" s="67">
        <v>103057000</v>
      </c>
      <c r="D102" s="67">
        <v>99221400</v>
      </c>
      <c r="E102" s="68">
        <f t="shared" si="0"/>
        <v>3835600</v>
      </c>
      <c r="F102" s="52"/>
    </row>
    <row r="103" spans="1:6" x14ac:dyDescent="0.35">
      <c r="A103" s="66">
        <v>7</v>
      </c>
      <c r="B103" s="66" t="s">
        <v>130</v>
      </c>
      <c r="C103" s="67">
        <v>89842500</v>
      </c>
      <c r="D103" s="67">
        <v>91720800</v>
      </c>
      <c r="E103" s="68">
        <f t="shared" si="0"/>
        <v>-1878300</v>
      </c>
    </row>
    <row r="104" spans="1:6" x14ac:dyDescent="0.35">
      <c r="C104" s="69">
        <f>SUM(C97:C103)</f>
        <v>689772300</v>
      </c>
      <c r="D104" s="69">
        <f>SUM(D97:D103)</f>
        <v>666937789</v>
      </c>
      <c r="E104" s="70">
        <f>SUM(E97:E103)</f>
        <v>22834511</v>
      </c>
    </row>
    <row r="106" spans="1:6" x14ac:dyDescent="0.35">
      <c r="F106" s="16"/>
    </row>
    <row r="107" spans="1:6" x14ac:dyDescent="0.35">
      <c r="F107" s="16"/>
    </row>
    <row r="110" spans="1:6" x14ac:dyDescent="0.35">
      <c r="A110" s="6" t="s">
        <v>0</v>
      </c>
      <c r="B110" s="6" t="s">
        <v>131</v>
      </c>
      <c r="C110" s="8" t="s">
        <v>5</v>
      </c>
      <c r="D110" s="8" t="s">
        <v>6</v>
      </c>
      <c r="E110" s="8" t="s">
        <v>7</v>
      </c>
    </row>
    <row r="111" spans="1:6" x14ac:dyDescent="0.35">
      <c r="A111" s="10">
        <v>2</v>
      </c>
      <c r="B111" s="11" t="s">
        <v>12</v>
      </c>
      <c r="C111" s="71">
        <v>4950000</v>
      </c>
      <c r="D111" s="72">
        <v>4500000</v>
      </c>
      <c r="E111" s="72">
        <f>C111-D111</f>
        <v>450000</v>
      </c>
    </row>
    <row r="112" spans="1:6" x14ac:dyDescent="0.35">
      <c r="A112" s="10">
        <v>13</v>
      </c>
      <c r="B112" s="29" t="s">
        <v>31</v>
      </c>
      <c r="C112" s="71">
        <v>30700000</v>
      </c>
      <c r="D112" s="71">
        <v>25803000</v>
      </c>
      <c r="E112" s="72">
        <f t="shared" ref="E112:E126" si="1">C112-D112</f>
        <v>4897000</v>
      </c>
    </row>
    <row r="113" spans="1:5" x14ac:dyDescent="0.35">
      <c r="A113" s="10">
        <v>21</v>
      </c>
      <c r="B113" s="33" t="s">
        <v>43</v>
      </c>
      <c r="C113" s="71">
        <v>1400000</v>
      </c>
      <c r="D113" s="71">
        <v>800000</v>
      </c>
      <c r="E113" s="72">
        <f t="shared" si="1"/>
        <v>600000</v>
      </c>
    </row>
    <row r="114" spans="1:5" x14ac:dyDescent="0.35">
      <c r="A114" s="10">
        <v>23</v>
      </c>
      <c r="B114" s="32" t="s">
        <v>46</v>
      </c>
      <c r="C114" s="71">
        <v>13600000</v>
      </c>
      <c r="D114" s="71">
        <v>12200000</v>
      </c>
      <c r="E114" s="72">
        <f t="shared" si="1"/>
        <v>1400000</v>
      </c>
    </row>
    <row r="115" spans="1:5" x14ac:dyDescent="0.35">
      <c r="A115" s="10">
        <v>27</v>
      </c>
      <c r="B115" s="29" t="s">
        <v>50</v>
      </c>
      <c r="C115" s="71">
        <v>15000000</v>
      </c>
      <c r="D115" s="71">
        <v>11648700</v>
      </c>
      <c r="E115" s="72">
        <f t="shared" si="1"/>
        <v>3351300</v>
      </c>
    </row>
    <row r="116" spans="1:5" x14ac:dyDescent="0.35">
      <c r="A116" s="10">
        <v>29</v>
      </c>
      <c r="B116" s="36" t="s">
        <v>53</v>
      </c>
      <c r="C116" s="71">
        <v>12490000</v>
      </c>
      <c r="D116" s="71">
        <v>10661721</v>
      </c>
      <c r="E116" s="71">
        <v>1828279</v>
      </c>
    </row>
    <row r="117" spans="1:5" x14ac:dyDescent="0.35">
      <c r="A117" s="10">
        <v>30</v>
      </c>
      <c r="B117" s="37" t="s">
        <v>54</v>
      </c>
      <c r="C117" s="71">
        <v>7245800</v>
      </c>
      <c r="D117" s="71">
        <v>7256768</v>
      </c>
      <c r="E117" s="73">
        <f t="shared" si="1"/>
        <v>-10968</v>
      </c>
    </row>
    <row r="118" spans="1:5" x14ac:dyDescent="0.35">
      <c r="A118" s="10">
        <v>31</v>
      </c>
      <c r="B118" s="34" t="s">
        <v>55</v>
      </c>
      <c r="C118" s="71">
        <v>15000000</v>
      </c>
      <c r="D118" s="71">
        <v>800000</v>
      </c>
      <c r="E118" s="72">
        <f t="shared" si="1"/>
        <v>14200000</v>
      </c>
    </row>
    <row r="119" spans="1:5" x14ac:dyDescent="0.35">
      <c r="A119" s="10">
        <v>39</v>
      </c>
      <c r="B119" s="39" t="s">
        <v>66</v>
      </c>
      <c r="C119" s="71">
        <v>8800000</v>
      </c>
      <c r="D119" s="71">
        <v>14638400</v>
      </c>
      <c r="E119" s="73">
        <f t="shared" si="1"/>
        <v>-5838400</v>
      </c>
    </row>
    <row r="120" spans="1:5" x14ac:dyDescent="0.35">
      <c r="A120" s="10">
        <v>50</v>
      </c>
      <c r="B120" s="32" t="s">
        <v>81</v>
      </c>
      <c r="C120" s="74">
        <v>14250000</v>
      </c>
      <c r="D120" s="74">
        <v>14050000</v>
      </c>
      <c r="E120" s="72">
        <f t="shared" si="1"/>
        <v>200000</v>
      </c>
    </row>
    <row r="121" spans="1:5" x14ac:dyDescent="0.35">
      <c r="A121" s="10">
        <v>51</v>
      </c>
      <c r="B121" s="32" t="s">
        <v>82</v>
      </c>
      <c r="C121" s="74">
        <v>4450000</v>
      </c>
      <c r="D121" s="74">
        <v>4300000</v>
      </c>
      <c r="E121" s="72">
        <f t="shared" si="1"/>
        <v>150000</v>
      </c>
    </row>
    <row r="122" spans="1:5" x14ac:dyDescent="0.35">
      <c r="A122" s="10">
        <v>57</v>
      </c>
      <c r="B122" s="32" t="s">
        <v>89</v>
      </c>
      <c r="C122" s="71">
        <v>9850000</v>
      </c>
      <c r="D122" s="71">
        <v>9550000</v>
      </c>
      <c r="E122" s="72">
        <f t="shared" si="1"/>
        <v>300000</v>
      </c>
    </row>
    <row r="123" spans="1:5" x14ac:dyDescent="0.35">
      <c r="A123" s="10">
        <v>64</v>
      </c>
      <c r="B123" s="39" t="s">
        <v>31</v>
      </c>
      <c r="C123" s="71">
        <v>10000000</v>
      </c>
      <c r="D123" s="71">
        <v>6934400</v>
      </c>
      <c r="E123" s="72">
        <f t="shared" si="1"/>
        <v>3065600</v>
      </c>
    </row>
    <row r="124" spans="1:5" x14ac:dyDescent="0.35">
      <c r="A124" s="10">
        <v>65</v>
      </c>
      <c r="B124" s="37" t="s">
        <v>54</v>
      </c>
      <c r="C124" s="71">
        <v>7533000</v>
      </c>
      <c r="D124" s="71">
        <v>7413000</v>
      </c>
      <c r="E124" s="72">
        <f t="shared" si="1"/>
        <v>120000</v>
      </c>
    </row>
    <row r="125" spans="1:5" x14ac:dyDescent="0.35">
      <c r="A125" s="10">
        <v>71</v>
      </c>
      <c r="B125" s="32" t="s">
        <v>109</v>
      </c>
      <c r="C125" s="74">
        <v>3350000</v>
      </c>
      <c r="D125" s="74">
        <v>2550000</v>
      </c>
      <c r="E125" s="72">
        <f t="shared" si="1"/>
        <v>800000</v>
      </c>
    </row>
    <row r="126" spans="1:5" x14ac:dyDescent="0.35">
      <c r="A126" s="10">
        <v>72</v>
      </c>
      <c r="B126" s="39" t="s">
        <v>31</v>
      </c>
      <c r="C126" s="71">
        <v>7300000</v>
      </c>
      <c r="D126" s="71">
        <v>9978300</v>
      </c>
      <c r="E126" s="73">
        <f t="shared" si="1"/>
        <v>-2678300</v>
      </c>
    </row>
    <row r="128" spans="1:5" x14ac:dyDescent="0.35">
      <c r="E128" s="75">
        <f>SUM(E111:E126)</f>
        <v>22834511</v>
      </c>
    </row>
    <row r="132" spans="1:5" x14ac:dyDescent="0.35">
      <c r="A132" s="6" t="s">
        <v>0</v>
      </c>
      <c r="B132" s="6" t="s">
        <v>118</v>
      </c>
      <c r="C132" s="7" t="s">
        <v>132</v>
      </c>
      <c r="D132" s="8" t="s">
        <v>5</v>
      </c>
      <c r="E132" s="8" t="s">
        <v>6</v>
      </c>
    </row>
    <row r="133" spans="1:5" x14ac:dyDescent="0.35">
      <c r="A133" s="10">
        <v>8</v>
      </c>
      <c r="B133" s="21" t="s">
        <v>21</v>
      </c>
      <c r="C133" s="12" t="s">
        <v>19</v>
      </c>
      <c r="D133" s="14">
        <v>500000</v>
      </c>
      <c r="E133" s="14">
        <v>500000</v>
      </c>
    </row>
    <row r="134" spans="1:5" x14ac:dyDescent="0.35">
      <c r="A134" s="10">
        <v>12</v>
      </c>
      <c r="B134" s="25" t="s">
        <v>28</v>
      </c>
      <c r="C134" s="26" t="s">
        <v>29</v>
      </c>
      <c r="D134" s="27">
        <v>2600000</v>
      </c>
      <c r="E134" s="27">
        <v>2600000</v>
      </c>
    </row>
    <row r="135" spans="1:5" x14ac:dyDescent="0.35">
      <c r="A135" s="10">
        <v>16</v>
      </c>
      <c r="B135" s="33" t="s">
        <v>34</v>
      </c>
      <c r="C135" s="12" t="s">
        <v>35</v>
      </c>
      <c r="D135" s="14">
        <v>500000</v>
      </c>
      <c r="E135" s="14">
        <v>500000</v>
      </c>
    </row>
    <row r="136" spans="1:5" x14ac:dyDescent="0.35">
      <c r="A136" s="10">
        <v>21</v>
      </c>
      <c r="B136" s="33" t="s">
        <v>43</v>
      </c>
      <c r="C136" s="12" t="s">
        <v>44</v>
      </c>
      <c r="D136" s="18">
        <v>1400000</v>
      </c>
      <c r="E136" s="18">
        <v>800000</v>
      </c>
    </row>
    <row r="137" spans="1:5" x14ac:dyDescent="0.35">
      <c r="A137" s="10">
        <v>42</v>
      </c>
      <c r="B137" s="33" t="s">
        <v>69</v>
      </c>
      <c r="C137" s="12" t="s">
        <v>67</v>
      </c>
      <c r="D137" s="31">
        <v>2050000</v>
      </c>
      <c r="E137" s="31">
        <v>2050000</v>
      </c>
    </row>
    <row r="138" spans="1:5" x14ac:dyDescent="0.35">
      <c r="A138" s="10">
        <v>55</v>
      </c>
      <c r="B138" s="33" t="s">
        <v>87</v>
      </c>
      <c r="C138" s="12" t="s">
        <v>84</v>
      </c>
      <c r="D138" s="14">
        <v>500000</v>
      </c>
      <c r="E138" s="14">
        <v>500000</v>
      </c>
    </row>
    <row r="139" spans="1:5" x14ac:dyDescent="0.35">
      <c r="A139" s="10">
        <v>69</v>
      </c>
      <c r="B139" s="33" t="s">
        <v>105</v>
      </c>
      <c r="C139" s="12" t="s">
        <v>106</v>
      </c>
      <c r="D139" s="23">
        <v>130000</v>
      </c>
      <c r="E139" s="23">
        <v>130000</v>
      </c>
    </row>
    <row r="140" spans="1:5" x14ac:dyDescent="0.35">
      <c r="A140" s="10">
        <v>70</v>
      </c>
      <c r="B140" s="33" t="s">
        <v>107</v>
      </c>
      <c r="C140" s="12" t="s">
        <v>108</v>
      </c>
      <c r="D140" s="23">
        <v>2000000</v>
      </c>
      <c r="E140" s="23">
        <v>2000000</v>
      </c>
    </row>
    <row r="142" spans="1:5" x14ac:dyDescent="0.35">
      <c r="E142" s="70">
        <f>SUM(E133:E140)</f>
        <v>9080000</v>
      </c>
    </row>
  </sheetData>
  <mergeCells count="8">
    <mergeCell ref="D51:D68"/>
    <mergeCell ref="D69:D78"/>
    <mergeCell ref="A1:A2"/>
    <mergeCell ref="B1:I1"/>
    <mergeCell ref="D3:D15"/>
    <mergeCell ref="D16:D29"/>
    <mergeCell ref="D30:D33"/>
    <mergeCell ref="D34: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1 2024</dc:creator>
  <cp:lastModifiedBy>MSI 1 2024</cp:lastModifiedBy>
  <dcterms:created xsi:type="dcterms:W3CDTF">2026-06-15T07:39:39Z</dcterms:created>
  <dcterms:modified xsi:type="dcterms:W3CDTF">2026-06-15T07:39:48Z</dcterms:modified>
</cp:coreProperties>
</file>